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Q:\Consultoria\FORMACION\CURSOS_CORTOS\2022 09 Curso VBA en abierto\Ejercicios actualizados\"/>
    </mc:Choice>
  </mc:AlternateContent>
  <bookViews>
    <workbookView xWindow="0" yWindow="0" windowWidth="28770" windowHeight="7155" tabRatio="549"/>
  </bookViews>
  <sheets>
    <sheet name="Instrucciones" sheetId="4" r:id="rId1"/>
    <sheet name="Bono" sheetId="6" r:id="rId2"/>
  </sheets>
  <definedNames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Bono!$D$21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</definedNames>
  <calcPr calcId="162913" calcMode="manual" iterate="1" calcCompleted="0" calcOnSave="0"/>
</workbook>
</file>

<file path=xl/calcChain.xml><?xml version="1.0" encoding="utf-8"?>
<calcChain xmlns="http://schemas.openxmlformats.org/spreadsheetml/2006/main">
  <c r="B5" i="6" l="1"/>
  <c r="F15" i="6" l="1"/>
  <c r="F6" i="6"/>
  <c r="F7" i="6"/>
  <c r="F8" i="6"/>
  <c r="F9" i="6"/>
  <c r="F10" i="6"/>
  <c r="F11" i="6"/>
  <c r="F12" i="6"/>
  <c r="F13" i="6"/>
  <c r="F14" i="6"/>
  <c r="B6" i="6" l="1"/>
  <c r="B7" i="6" s="1"/>
  <c r="B8" i="6" s="1"/>
  <c r="B9" i="6" s="1"/>
  <c r="B10" i="6" s="1"/>
  <c r="B11" i="6" s="1"/>
  <c r="B12" i="6" s="1"/>
  <c r="B13" i="6" s="1"/>
  <c r="B14" i="6" s="1"/>
  <c r="B15" i="6" s="1"/>
  <c r="C15" i="6" s="1"/>
  <c r="D15" i="6" s="1"/>
  <c r="C12" i="4"/>
  <c r="C13" i="4"/>
  <c r="C14" i="4"/>
  <c r="C15" i="4"/>
  <c r="C16" i="4" s="1"/>
  <c r="C17" i="4" s="1"/>
  <c r="C18" i="4" s="1"/>
  <c r="C19" i="4" s="1"/>
  <c r="C20" i="4" s="1"/>
  <c r="H15" i="6" l="1"/>
  <c r="C10" i="6"/>
  <c r="D10" i="6" s="1"/>
  <c r="C9" i="6"/>
  <c r="D9" i="6" s="1"/>
  <c r="C14" i="6"/>
  <c r="D14" i="6" s="1"/>
  <c r="C8" i="6"/>
  <c r="D8" i="6" s="1"/>
  <c r="C13" i="6"/>
  <c r="D13" i="6" s="1"/>
  <c r="C7" i="6"/>
  <c r="D7" i="6" s="1"/>
  <c r="C11" i="6"/>
  <c r="D11" i="6" s="1"/>
  <c r="C12" i="6"/>
  <c r="D12" i="6" s="1"/>
  <c r="C6" i="6"/>
  <c r="D6" i="6" s="1"/>
  <c r="E15" i="6" l="1"/>
  <c r="G15" i="6" s="1"/>
  <c r="H14" i="6"/>
  <c r="H7" i="6"/>
  <c r="H9" i="6"/>
  <c r="H6" i="6"/>
  <c r="H13" i="6"/>
  <c r="H10" i="6"/>
  <c r="H12" i="6"/>
  <c r="H8" i="6"/>
  <c r="H11" i="6"/>
  <c r="E14" i="6" l="1"/>
  <c r="G14" i="6" s="1"/>
  <c r="E13" i="6"/>
  <c r="G13" i="6" s="1"/>
  <c r="E12" i="6"/>
  <c r="G12" i="6" s="1"/>
  <c r="E11" i="6"/>
  <c r="G11" i="6" s="1"/>
  <c r="E10" i="6"/>
  <c r="G10" i="6" s="1"/>
  <c r="E9" i="6"/>
  <c r="G9" i="6" s="1"/>
  <c r="E8" i="6"/>
  <c r="G8" i="6" s="1"/>
  <c r="E7" i="6"/>
  <c r="G7" i="6" s="1"/>
  <c r="E6" i="6"/>
  <c r="G6" i="6" s="1"/>
  <c r="H17" i="6"/>
  <c r="G17" i="6" l="1"/>
  <c r="G18" i="6" s="1"/>
  <c r="F5" i="6" l="1"/>
  <c r="H22" i="6" s="1"/>
</calcChain>
</file>

<file path=xl/comments1.xml><?xml version="1.0" encoding="utf-8"?>
<comments xmlns="http://schemas.openxmlformats.org/spreadsheetml/2006/main">
  <authors>
    <author>Mariana Perdomo</author>
  </authors>
  <commentList>
    <comment ref="H20" authorId="0" shapeId="0">
      <text>
        <r>
          <rPr>
            <sz val="8"/>
            <color indexed="81"/>
            <rFont val="Tahoma"/>
            <family val="2"/>
          </rPr>
          <t xml:space="preserve">Es la tasa de interés que hace que la suma de los valores actuales de los cupones descontados a esa misma tasa iguale el precio del bono
</t>
        </r>
      </text>
    </comment>
  </commentList>
</comments>
</file>

<file path=xl/sharedStrings.xml><?xml version="1.0" encoding="utf-8"?>
<sst xmlns="http://schemas.openxmlformats.org/spreadsheetml/2006/main" count="15" uniqueCount="13">
  <si>
    <t>Tipos Ccero</t>
  </si>
  <si>
    <t>Plazo</t>
  </si>
  <si>
    <t>FD</t>
  </si>
  <si>
    <t>Flujos (%)</t>
  </si>
  <si>
    <t>Flujos Desc(%)</t>
  </si>
  <si>
    <t>Precio Bono</t>
  </si>
  <si>
    <t>Flujos Desc(%) TIR</t>
  </si>
  <si>
    <t>Cupón</t>
  </si>
  <si>
    <t>Dif. Precio</t>
  </si>
  <si>
    <t>Fecha</t>
  </si>
  <si>
    <t>Cálculo de la TIR</t>
  </si>
  <si>
    <t xml:space="preserve">TIR </t>
  </si>
  <si>
    <t>TIR (fórmula Excel)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</si>
</sst>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0"/>
    <numFmt numFmtId="166" formatCode="dd/mm/yy;@"/>
    <numFmt numFmtId="167" formatCode="#,##0.00\ _€"/>
  </numFmts>
  <fonts count="15" x14ac:knownFonts="1">
    <font>
      <sz val="10"/>
      <name val="Arial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12"/>
      <color indexed="9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u/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rgb="FFD84519"/>
      <name val="Calibri"/>
      <family val="2"/>
      <scheme val="minor"/>
    </font>
    <font>
      <sz val="10"/>
      <color rgb="FFD84519"/>
      <name val="Calibri"/>
      <family val="2"/>
      <scheme val="minor"/>
    </font>
    <font>
      <sz val="10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84519"/>
        <bgColor indexed="64"/>
      </patternFill>
    </fill>
  </fills>
  <borders count="15">
    <border>
      <left/>
      <right/>
      <top/>
      <bottom/>
      <diagonal/>
    </border>
    <border>
      <left style="thin">
        <color rgb="FFD84519"/>
      </left>
      <right style="thin">
        <color rgb="FFD84519"/>
      </right>
      <top style="thin">
        <color rgb="FFD84519"/>
      </top>
      <bottom style="thin">
        <color rgb="FFD84519"/>
      </bottom>
      <diagonal/>
    </border>
    <border>
      <left style="thin">
        <color rgb="FFD84519"/>
      </left>
      <right/>
      <top style="thin">
        <color rgb="FFD84519"/>
      </top>
      <bottom/>
      <diagonal/>
    </border>
    <border>
      <left/>
      <right style="thin">
        <color rgb="FFD84519"/>
      </right>
      <top style="thin">
        <color rgb="FFD84519"/>
      </top>
      <bottom/>
      <diagonal/>
    </border>
    <border>
      <left style="thin">
        <color rgb="FFD84519"/>
      </left>
      <right/>
      <top/>
      <bottom/>
      <diagonal/>
    </border>
    <border>
      <left/>
      <right style="thin">
        <color rgb="FFD84519"/>
      </right>
      <top/>
      <bottom/>
      <diagonal/>
    </border>
    <border>
      <left style="thin">
        <color rgb="FFD84519"/>
      </left>
      <right/>
      <top/>
      <bottom style="thin">
        <color rgb="FFD84519"/>
      </bottom>
      <diagonal/>
    </border>
    <border>
      <left/>
      <right style="thin">
        <color rgb="FFD84519"/>
      </right>
      <top/>
      <bottom style="thin">
        <color rgb="FFD84519"/>
      </bottom>
      <diagonal/>
    </border>
    <border>
      <left style="thin">
        <color rgb="FFD84519"/>
      </left>
      <right/>
      <top style="thin">
        <color rgb="FFD84519"/>
      </top>
      <bottom style="thin">
        <color rgb="FFD84519"/>
      </bottom>
      <diagonal/>
    </border>
    <border>
      <left/>
      <right style="thin">
        <color rgb="FFD84519"/>
      </right>
      <top style="thin">
        <color rgb="FFD84519"/>
      </top>
      <bottom style="thin">
        <color rgb="FFD84519"/>
      </bottom>
      <diagonal/>
    </border>
    <border>
      <left/>
      <right/>
      <top style="thin">
        <color rgb="FFD84519"/>
      </top>
      <bottom/>
      <diagonal/>
    </border>
    <border>
      <left/>
      <right/>
      <top/>
      <bottom style="thin">
        <color rgb="FFD84519"/>
      </bottom>
      <diagonal/>
    </border>
    <border>
      <left style="thin">
        <color rgb="FFD84519"/>
      </left>
      <right style="thin">
        <color rgb="FFD84519"/>
      </right>
      <top style="thin">
        <color rgb="FFD84519"/>
      </top>
      <bottom/>
      <diagonal/>
    </border>
    <border>
      <left style="thin">
        <color rgb="FFD84519"/>
      </left>
      <right style="thin">
        <color rgb="FFD84519"/>
      </right>
      <top/>
      <bottom/>
      <diagonal/>
    </border>
    <border>
      <left style="thin">
        <color rgb="FFD84519"/>
      </left>
      <right style="thin">
        <color rgb="FFD84519"/>
      </right>
      <top/>
      <bottom style="thin">
        <color rgb="FFD84519"/>
      </bottom>
      <diagonal/>
    </border>
  </borders>
  <cellStyleXfs count="4">
    <xf numFmtId="0" fontId="0" fillId="0" borderId="0"/>
    <xf numFmtId="0" fontId="3" fillId="0" borderId="0"/>
    <xf numFmtId="9" fontId="5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 applyBorder="1"/>
    <xf numFmtId="0" fontId="1" fillId="0" borderId="0" xfId="0" applyFont="1"/>
    <xf numFmtId="0" fontId="2" fillId="0" borderId="0" xfId="0" applyFont="1" applyBorder="1" applyAlignment="1">
      <alignment horizontal="right"/>
    </xf>
    <xf numFmtId="0" fontId="4" fillId="0" borderId="0" xfId="0" applyFont="1"/>
    <xf numFmtId="0" fontId="3" fillId="0" borderId="0" xfId="1"/>
    <xf numFmtId="0" fontId="9" fillId="0" borderId="0" xfId="1" applyFont="1" applyBorder="1"/>
    <xf numFmtId="0" fontId="9" fillId="0" borderId="0" xfId="1" applyFont="1"/>
    <xf numFmtId="0" fontId="9" fillId="0" borderId="0" xfId="1" applyFont="1" applyBorder="1" applyAlignment="1">
      <alignment horizontal="center"/>
    </xf>
    <xf numFmtId="10" fontId="9" fillId="0" borderId="0" xfId="1" applyNumberFormat="1" applyFont="1" applyBorder="1" applyAlignment="1">
      <alignment horizontal="center"/>
    </xf>
    <xf numFmtId="165" fontId="9" fillId="0" borderId="0" xfId="1" applyNumberFormat="1" applyFont="1" applyBorder="1"/>
    <xf numFmtId="9" fontId="3" fillId="0" borderId="0" xfId="1" applyNumberFormat="1"/>
    <xf numFmtId="9" fontId="3" fillId="0" borderId="0" xfId="2" applyFont="1"/>
    <xf numFmtId="1" fontId="9" fillId="0" borderId="0" xfId="1" applyNumberFormat="1" applyFont="1" applyBorder="1" applyAlignment="1">
      <alignment horizontal="center"/>
    </xf>
    <xf numFmtId="0" fontId="10" fillId="0" borderId="0" xfId="1" applyFont="1" applyBorder="1"/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0" fontId="8" fillId="0" borderId="5" xfId="0" applyNumberFormat="1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10" fontId="8" fillId="0" borderId="7" xfId="0" applyNumberFormat="1" applyFont="1" applyBorder="1" applyAlignment="1">
      <alignment horizontal="center"/>
    </xf>
    <xf numFmtId="0" fontId="7" fillId="2" borderId="8" xfId="1" applyFont="1" applyFill="1" applyBorder="1" applyAlignment="1">
      <alignment horizontal="center"/>
    </xf>
    <xf numFmtId="9" fontId="9" fillId="0" borderId="9" xfId="1" applyNumberFormat="1" applyFont="1" applyBorder="1" applyAlignment="1">
      <alignment horizontal="center"/>
    </xf>
    <xf numFmtId="0" fontId="7" fillId="2" borderId="2" xfId="1" applyFont="1" applyFill="1" applyBorder="1" applyAlignment="1">
      <alignment horizontal="center"/>
    </xf>
    <xf numFmtId="0" fontId="7" fillId="2" borderId="10" xfId="1" applyFont="1" applyFill="1" applyBorder="1" applyAlignment="1">
      <alignment horizontal="center"/>
    </xf>
    <xf numFmtId="0" fontId="7" fillId="2" borderId="3" xfId="1" applyFont="1" applyFill="1" applyBorder="1" applyAlignment="1">
      <alignment horizontal="center"/>
    </xf>
    <xf numFmtId="166" fontId="9" fillId="0" borderId="4" xfId="1" applyNumberFormat="1" applyFont="1" applyBorder="1" applyAlignment="1">
      <alignment horizontal="center"/>
    </xf>
    <xf numFmtId="0" fontId="9" fillId="0" borderId="5" xfId="1" applyFont="1" applyBorder="1"/>
    <xf numFmtId="166" fontId="9" fillId="0" borderId="6" xfId="1" applyNumberFormat="1" applyFont="1" applyBorder="1" applyAlignment="1">
      <alignment horizontal="center"/>
    </xf>
    <xf numFmtId="1" fontId="9" fillId="0" borderId="11" xfId="1" applyNumberFormat="1" applyFont="1" applyBorder="1" applyAlignment="1">
      <alignment horizontal="center"/>
    </xf>
    <xf numFmtId="10" fontId="9" fillId="0" borderId="11" xfId="1" applyNumberFormat="1" applyFont="1" applyBorder="1" applyAlignment="1">
      <alignment horizontal="center"/>
    </xf>
    <xf numFmtId="165" fontId="9" fillId="0" borderId="11" xfId="1" applyNumberFormat="1" applyFont="1" applyBorder="1"/>
    <xf numFmtId="0" fontId="7" fillId="2" borderId="12" xfId="1" applyFont="1" applyFill="1" applyBorder="1" applyAlignment="1">
      <alignment horizontal="center"/>
    </xf>
    <xf numFmtId="0" fontId="9" fillId="0" borderId="13" xfId="1" applyFont="1" applyBorder="1"/>
    <xf numFmtId="0" fontId="12" fillId="0" borderId="0" xfId="1" applyFont="1" applyBorder="1" applyAlignment="1">
      <alignment horizontal="center"/>
    </xf>
    <xf numFmtId="0" fontId="12" fillId="0" borderId="0" xfId="1" applyFont="1"/>
    <xf numFmtId="164" fontId="9" fillId="0" borderId="1" xfId="3" applyNumberFormat="1" applyFont="1" applyBorder="1" applyAlignment="1">
      <alignment horizontal="center"/>
    </xf>
    <xf numFmtId="9" fontId="11" fillId="0" borderId="1" xfId="2" applyFont="1" applyFill="1" applyBorder="1"/>
    <xf numFmtId="167" fontId="12" fillId="0" borderId="8" xfId="1" applyNumberFormat="1" applyFont="1" applyBorder="1" applyAlignment="1">
      <alignment horizontal="center"/>
    </xf>
    <xf numFmtId="10" fontId="13" fillId="0" borderId="9" xfId="1" applyNumberFormat="1" applyFont="1" applyFill="1" applyBorder="1" applyAlignment="1">
      <alignment horizontal="center"/>
    </xf>
    <xf numFmtId="10" fontId="9" fillId="0" borderId="5" xfId="1" applyNumberFormat="1" applyFont="1" applyBorder="1" applyAlignment="1">
      <alignment horizontal="center"/>
    </xf>
    <xf numFmtId="10" fontId="9" fillId="0" borderId="7" xfId="1" applyNumberFormat="1" applyFont="1" applyBorder="1" applyAlignment="1">
      <alignment horizontal="center"/>
    </xf>
    <xf numFmtId="10" fontId="9" fillId="0" borderId="13" xfId="1" applyNumberFormat="1" applyFont="1" applyBorder="1" applyAlignment="1">
      <alignment horizontal="center"/>
    </xf>
    <xf numFmtId="10" fontId="9" fillId="0" borderId="14" xfId="1" applyNumberFormat="1" applyFont="1" applyBorder="1" applyAlignment="1">
      <alignment horizontal="center"/>
    </xf>
    <xf numFmtId="164" fontId="14" fillId="0" borderId="0" xfId="1" applyNumberFormat="1" applyFont="1" applyBorder="1" applyAlignment="1">
      <alignment horizontal="center"/>
    </xf>
    <xf numFmtId="14" fontId="0" fillId="0" borderId="0" xfId="0" applyNumberFormat="1"/>
    <xf numFmtId="164" fontId="0" fillId="0" borderId="0" xfId="2" applyNumberFormat="1" applyFont="1"/>
  </cellXfs>
  <cellStyles count="4">
    <cellStyle name="Normal" xfId="0" builtinId="0"/>
    <cellStyle name="Normal 2" xfId="1"/>
    <cellStyle name="Percent" xfId="2" builtinId="5"/>
    <cellStyle name="Porcentual 2" xfId="3"/>
  </cellStyles>
  <dxfs count="0"/>
  <tableStyles count="0" defaultTableStyle="TableStyleMedium9" defaultPivotStyle="PivotStyleLight16"/>
  <colors>
    <mruColors>
      <color rgb="FFD845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752475</xdr:colOff>
      <xdr:row>14</xdr:row>
      <xdr:rowOff>66675</xdr:rowOff>
    </xdr:from>
    <xdr:to>
      <xdr:col>10</xdr:col>
      <xdr:colOff>123825</xdr:colOff>
      <xdr:row>19</xdr:row>
      <xdr:rowOff>133350</xdr:rowOff>
    </xdr:to>
    <xdr:pic>
      <xdr:nvPicPr>
        <xdr:cNvPr id="206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3009900"/>
          <a:ext cx="3943350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428625</xdr:colOff>
      <xdr:row>1</xdr:row>
      <xdr:rowOff>19050</xdr:rowOff>
    </xdr:from>
    <xdr:to>
      <xdr:col>10</xdr:col>
      <xdr:colOff>704849</xdr:colOff>
      <xdr:row>2</xdr:row>
      <xdr:rowOff>164726</xdr:rowOff>
    </xdr:to>
    <xdr:sp macro="" textlink="">
      <xdr:nvSpPr>
        <xdr:cNvPr id="4" name="3 Rectángulo redondeado"/>
        <xdr:cNvSpPr/>
      </xdr:nvSpPr>
      <xdr:spPr bwMode="auto">
        <a:xfrm>
          <a:off x="428625" y="180975"/>
          <a:ext cx="8286749" cy="336176"/>
        </a:xfrm>
        <a:prstGeom prst="roundRect">
          <a:avLst/>
        </a:prstGeom>
        <a:solidFill>
          <a:srgbClr val="D84519"/>
        </a:solidFill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s-ES" sz="1600" b="1" i="0"/>
            <a:t>TIR_Bono_Macro</a:t>
          </a:r>
        </a:p>
      </xdr:txBody>
    </xdr:sp>
    <xdr:clientData/>
  </xdr:twoCellAnchor>
  <xdr:twoCellAnchor>
    <xdr:from>
      <xdr:col>0</xdr:col>
      <xdr:colOff>419100</xdr:colOff>
      <xdr:row>3</xdr:row>
      <xdr:rowOff>66676</xdr:rowOff>
    </xdr:from>
    <xdr:to>
      <xdr:col>10</xdr:col>
      <xdr:colOff>685800</xdr:colOff>
      <xdr:row>7</xdr:row>
      <xdr:rowOff>47626</xdr:rowOff>
    </xdr:to>
    <xdr:sp macro="" textlink="">
      <xdr:nvSpPr>
        <xdr:cNvPr id="5" name="4 Redondear rectángulo de esquina diagonal"/>
        <xdr:cNvSpPr/>
      </xdr:nvSpPr>
      <xdr:spPr bwMode="auto">
        <a:xfrm>
          <a:off x="419100" y="609601"/>
          <a:ext cx="8277225" cy="723900"/>
        </a:xfrm>
        <a:prstGeom prst="round2DiagRect">
          <a:avLst/>
        </a:prstGeom>
        <a:ln>
          <a:solidFill>
            <a:srgbClr val="D84519"/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marL="0" marR="0" indent="0" algn="l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La idea del ejercicio es construir una subrutina (grabando una macro) que use la opción ‘Buscar Objetivo’ (Datos =&gt; Análisis de hipótesis =&gt; Buscar objetivo) de Excel para calcular la Tasa Interna de Retorno (TIR). Esta macro debe ser asignada a una figura y probada cambiando el cupón del bono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7</xdr:row>
          <xdr:rowOff>171450</xdr:rowOff>
        </xdr:from>
        <xdr:to>
          <xdr:col>9</xdr:col>
          <xdr:colOff>466725</xdr:colOff>
          <xdr:row>9</xdr:row>
          <xdr:rowOff>123825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10</xdr:row>
          <xdr:rowOff>38100</xdr:rowOff>
        </xdr:from>
        <xdr:to>
          <xdr:col>8</xdr:col>
          <xdr:colOff>447675</xdr:colOff>
          <xdr:row>13</xdr:row>
          <xdr:rowOff>76200</xdr:rowOff>
        </xdr:to>
        <xdr:sp macro="" textlink="">
          <xdr:nvSpPr>
            <xdr:cNvPr id="2052" name="Object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E78"/>
  <sheetViews>
    <sheetView showGridLines="0" tabSelected="1" workbookViewId="0"/>
  </sheetViews>
  <sheetFormatPr defaultColWidth="11.42578125" defaultRowHeight="12.75" x14ac:dyDescent="0.2"/>
  <cols>
    <col min="1" max="1" width="11.42578125" customWidth="1"/>
    <col min="2" max="2" width="13.7109375" bestFit="1" customWidth="1"/>
    <col min="3" max="3" width="11.42578125" customWidth="1"/>
    <col min="4" max="4" width="15" customWidth="1"/>
  </cols>
  <sheetData>
    <row r="1" spans="1:5" x14ac:dyDescent="0.2">
      <c r="A1" s="4"/>
    </row>
    <row r="2" spans="1:5" ht="15" x14ac:dyDescent="0.2">
      <c r="A2" s="2"/>
      <c r="B2" s="2"/>
      <c r="C2" s="2"/>
    </row>
    <row r="3" spans="1:5" ht="15" x14ac:dyDescent="0.2">
      <c r="A3" s="2"/>
      <c r="B3" s="2"/>
      <c r="C3" s="2"/>
    </row>
    <row r="4" spans="1:5" ht="15.75" x14ac:dyDescent="0.25">
      <c r="A4" s="2"/>
      <c r="B4" s="3"/>
      <c r="C4" s="1"/>
    </row>
    <row r="5" spans="1:5" ht="15" x14ac:dyDescent="0.2">
      <c r="B5" s="2"/>
      <c r="C5" s="2"/>
    </row>
    <row r="6" spans="1:5" ht="15" x14ac:dyDescent="0.2">
      <c r="B6" s="2"/>
      <c r="C6" s="2"/>
    </row>
    <row r="8" spans="1:5" ht="36" customHeight="1" x14ac:dyDescent="0.2"/>
    <row r="9" spans="1:5" ht="15.75" x14ac:dyDescent="0.25">
      <c r="C9" s="15" t="s">
        <v>1</v>
      </c>
      <c r="D9" s="16" t="s">
        <v>0</v>
      </c>
    </row>
    <row r="10" spans="1:5" ht="15.75" x14ac:dyDescent="0.25">
      <c r="C10" s="17">
        <v>0</v>
      </c>
      <c r="D10" s="18"/>
    </row>
    <row r="11" spans="1:5" ht="15.75" x14ac:dyDescent="0.25">
      <c r="C11" s="17">
        <v>1</v>
      </c>
      <c r="D11" s="19">
        <v>1.767947111176893E-2</v>
      </c>
    </row>
    <row r="12" spans="1:5" ht="15.75" x14ac:dyDescent="0.25">
      <c r="C12" s="17">
        <f>1+C11</f>
        <v>2</v>
      </c>
      <c r="D12" s="19">
        <v>2.1394348655395801E-2</v>
      </c>
      <c r="E12" s="4"/>
    </row>
    <row r="13" spans="1:5" ht="15.75" x14ac:dyDescent="0.25">
      <c r="C13" s="17">
        <f t="shared" ref="C13:C20" si="0">1+C12</f>
        <v>3</v>
      </c>
      <c r="D13" s="19">
        <v>2.18573691508126E-2</v>
      </c>
    </row>
    <row r="14" spans="1:5" ht="15.75" x14ac:dyDescent="0.25">
      <c r="C14" s="17">
        <f t="shared" si="0"/>
        <v>4</v>
      </c>
      <c r="D14" s="19">
        <v>2.2444815003428875E-2</v>
      </c>
    </row>
    <row r="15" spans="1:5" ht="15.75" x14ac:dyDescent="0.25">
      <c r="C15" s="17">
        <f t="shared" si="0"/>
        <v>5</v>
      </c>
      <c r="D15" s="19">
        <v>2.3055584585776945E-2</v>
      </c>
    </row>
    <row r="16" spans="1:5" ht="15.75" x14ac:dyDescent="0.25">
      <c r="C16" s="17">
        <f t="shared" si="0"/>
        <v>6</v>
      </c>
      <c r="D16" s="19">
        <v>2.3612126583384407E-2</v>
      </c>
    </row>
    <row r="17" spans="2:5" ht="15.75" x14ac:dyDescent="0.25">
      <c r="C17" s="17">
        <f t="shared" si="0"/>
        <v>7</v>
      </c>
      <c r="D17" s="19">
        <v>2.4098965911286907E-2</v>
      </c>
    </row>
    <row r="18" spans="2:5" ht="15.75" x14ac:dyDescent="0.25">
      <c r="C18" s="17">
        <f t="shared" si="0"/>
        <v>8</v>
      </c>
      <c r="D18" s="19">
        <v>2.4655354736135449E-2</v>
      </c>
    </row>
    <row r="19" spans="2:5" ht="15.75" x14ac:dyDescent="0.25">
      <c r="C19" s="17">
        <f t="shared" si="0"/>
        <v>9</v>
      </c>
      <c r="D19" s="19">
        <v>2.5172870428681327E-2</v>
      </c>
    </row>
    <row r="20" spans="2:5" ht="15.75" x14ac:dyDescent="0.25">
      <c r="C20" s="20">
        <f t="shared" si="0"/>
        <v>10</v>
      </c>
      <c r="D20" s="21">
        <v>2.5655757369733134E-2</v>
      </c>
    </row>
    <row r="23" spans="2:5" x14ac:dyDescent="0.2">
      <c r="C23" s="46"/>
    </row>
    <row r="24" spans="2:5" x14ac:dyDescent="0.2">
      <c r="B24" s="4"/>
      <c r="C24" s="46"/>
      <c r="E24" s="47"/>
    </row>
    <row r="25" spans="2:5" x14ac:dyDescent="0.2">
      <c r="C25" s="46"/>
      <c r="E25" s="47"/>
    </row>
    <row r="26" spans="2:5" x14ac:dyDescent="0.2">
      <c r="C26" s="46"/>
      <c r="E26" s="47"/>
    </row>
    <row r="27" spans="2:5" x14ac:dyDescent="0.2">
      <c r="C27" s="46"/>
      <c r="E27" s="47"/>
    </row>
    <row r="28" spans="2:5" x14ac:dyDescent="0.2">
      <c r="C28" s="46"/>
      <c r="E28" s="47"/>
    </row>
    <row r="29" spans="2:5" x14ac:dyDescent="0.2">
      <c r="C29" s="46"/>
      <c r="E29" s="47"/>
    </row>
    <row r="30" spans="2:5" x14ac:dyDescent="0.2">
      <c r="C30" s="46"/>
      <c r="E30" s="47"/>
    </row>
    <row r="31" spans="2:5" x14ac:dyDescent="0.2">
      <c r="C31" s="46"/>
      <c r="E31" s="47"/>
    </row>
    <row r="32" spans="2:5" x14ac:dyDescent="0.2">
      <c r="C32" s="46"/>
      <c r="E32" s="47"/>
    </row>
    <row r="33" spans="3:5" x14ac:dyDescent="0.2">
      <c r="C33" s="46"/>
      <c r="E33" s="47"/>
    </row>
    <row r="34" spans="3:5" x14ac:dyDescent="0.2">
      <c r="C34" s="46"/>
      <c r="E34" s="47"/>
    </row>
    <row r="35" spans="3:5" x14ac:dyDescent="0.2">
      <c r="C35" s="46"/>
      <c r="E35" s="47"/>
    </row>
    <row r="36" spans="3:5" x14ac:dyDescent="0.2">
      <c r="C36" s="46"/>
      <c r="E36" s="47"/>
    </row>
    <row r="37" spans="3:5" x14ac:dyDescent="0.2">
      <c r="C37" s="46"/>
      <c r="E37" s="47"/>
    </row>
    <row r="38" spans="3:5" x14ac:dyDescent="0.2">
      <c r="C38" s="46"/>
      <c r="E38" s="47"/>
    </row>
    <row r="39" spans="3:5" x14ac:dyDescent="0.2">
      <c r="C39" s="46"/>
      <c r="E39" s="47"/>
    </row>
    <row r="40" spans="3:5" x14ac:dyDescent="0.2">
      <c r="C40" s="46"/>
      <c r="E40" s="47"/>
    </row>
    <row r="41" spans="3:5" x14ac:dyDescent="0.2">
      <c r="C41" s="46"/>
      <c r="E41" s="47"/>
    </row>
    <row r="42" spans="3:5" x14ac:dyDescent="0.2">
      <c r="C42" s="46"/>
      <c r="E42" s="47"/>
    </row>
    <row r="43" spans="3:5" x14ac:dyDescent="0.2">
      <c r="C43" s="46"/>
      <c r="E43" s="47"/>
    </row>
    <row r="44" spans="3:5" x14ac:dyDescent="0.2">
      <c r="C44" s="46"/>
      <c r="E44" s="47"/>
    </row>
    <row r="45" spans="3:5" x14ac:dyDescent="0.2">
      <c r="C45" s="46"/>
      <c r="E45" s="47"/>
    </row>
    <row r="46" spans="3:5" x14ac:dyDescent="0.2">
      <c r="C46" s="46"/>
      <c r="E46" s="47"/>
    </row>
    <row r="47" spans="3:5" x14ac:dyDescent="0.2">
      <c r="C47" s="46"/>
      <c r="E47" s="47"/>
    </row>
    <row r="48" spans="3:5" x14ac:dyDescent="0.2">
      <c r="C48" s="46"/>
      <c r="E48" s="47"/>
    </row>
    <row r="49" spans="3:5" x14ac:dyDescent="0.2">
      <c r="C49" s="46"/>
      <c r="E49" s="47"/>
    </row>
    <row r="50" spans="3:5" x14ac:dyDescent="0.2">
      <c r="C50" s="46"/>
      <c r="E50" s="47"/>
    </row>
    <row r="51" spans="3:5" x14ac:dyDescent="0.2">
      <c r="C51" s="46"/>
      <c r="E51" s="47"/>
    </row>
    <row r="52" spans="3:5" x14ac:dyDescent="0.2">
      <c r="C52" s="46"/>
      <c r="E52" s="47"/>
    </row>
    <row r="53" spans="3:5" x14ac:dyDescent="0.2">
      <c r="C53" s="46"/>
      <c r="E53" s="47"/>
    </row>
    <row r="54" spans="3:5" x14ac:dyDescent="0.2">
      <c r="C54" s="46"/>
      <c r="E54" s="47"/>
    </row>
    <row r="55" spans="3:5" x14ac:dyDescent="0.2">
      <c r="C55" s="46"/>
      <c r="E55" s="47"/>
    </row>
    <row r="56" spans="3:5" x14ac:dyDescent="0.2">
      <c r="C56" s="46"/>
      <c r="E56" s="47"/>
    </row>
    <row r="57" spans="3:5" x14ac:dyDescent="0.2">
      <c r="C57" s="46"/>
      <c r="E57" s="47"/>
    </row>
    <row r="58" spans="3:5" x14ac:dyDescent="0.2">
      <c r="C58" s="46"/>
      <c r="E58" s="47"/>
    </row>
    <row r="59" spans="3:5" x14ac:dyDescent="0.2">
      <c r="C59" s="46"/>
      <c r="E59" s="47"/>
    </row>
    <row r="60" spans="3:5" x14ac:dyDescent="0.2">
      <c r="C60" s="46"/>
      <c r="E60" s="47"/>
    </row>
    <row r="61" spans="3:5" x14ac:dyDescent="0.2">
      <c r="C61" s="46"/>
      <c r="E61" s="47"/>
    </row>
    <row r="62" spans="3:5" x14ac:dyDescent="0.2">
      <c r="C62" s="46"/>
      <c r="E62" s="47"/>
    </row>
    <row r="63" spans="3:5" x14ac:dyDescent="0.2">
      <c r="C63" s="46"/>
      <c r="E63" s="47"/>
    </row>
    <row r="64" spans="3:5" x14ac:dyDescent="0.2">
      <c r="C64" s="46"/>
      <c r="E64" s="47"/>
    </row>
    <row r="65" spans="3:5" x14ac:dyDescent="0.2">
      <c r="C65" s="46"/>
      <c r="E65" s="47"/>
    </row>
    <row r="66" spans="3:5" x14ac:dyDescent="0.2">
      <c r="C66" s="46"/>
      <c r="E66" s="47"/>
    </row>
    <row r="67" spans="3:5" x14ac:dyDescent="0.2">
      <c r="C67" s="46"/>
      <c r="E67" s="47"/>
    </row>
    <row r="68" spans="3:5" x14ac:dyDescent="0.2">
      <c r="C68" s="46"/>
      <c r="E68" s="47"/>
    </row>
    <row r="69" spans="3:5" x14ac:dyDescent="0.2">
      <c r="C69" s="46"/>
      <c r="E69" s="47"/>
    </row>
    <row r="70" spans="3:5" x14ac:dyDescent="0.2">
      <c r="C70" s="46"/>
      <c r="E70" s="47"/>
    </row>
    <row r="71" spans="3:5" x14ac:dyDescent="0.2">
      <c r="C71" s="46"/>
      <c r="E71" s="47"/>
    </row>
    <row r="72" spans="3:5" x14ac:dyDescent="0.2">
      <c r="C72" s="46"/>
      <c r="E72" s="47"/>
    </row>
    <row r="73" spans="3:5" x14ac:dyDescent="0.2">
      <c r="C73" s="46"/>
      <c r="E73" s="47"/>
    </row>
    <row r="74" spans="3:5" x14ac:dyDescent="0.2">
      <c r="C74" s="46"/>
      <c r="E74" s="47"/>
    </row>
    <row r="75" spans="3:5" x14ac:dyDescent="0.2">
      <c r="C75" s="46"/>
      <c r="E75" s="47"/>
    </row>
    <row r="76" spans="3:5" x14ac:dyDescent="0.2">
      <c r="C76" s="46"/>
      <c r="E76" s="47"/>
    </row>
    <row r="77" spans="3:5" x14ac:dyDescent="0.2">
      <c r="C77" s="46"/>
      <c r="E77" s="47"/>
    </row>
    <row r="78" spans="3:5" x14ac:dyDescent="0.2">
      <c r="C78" s="46"/>
      <c r="E78" s="47"/>
    </row>
  </sheetData>
  <phoneticPr fontId="0" type="noConversion"/>
  <pageMargins left="0.75" right="0.75" top="1" bottom="1" header="0" footer="0"/>
  <pageSetup paperSize="9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51" r:id="rId4">
          <objectPr defaultSize="0" autoPict="0" r:id="rId5">
            <anchor moveWithCells="1" sizeWithCells="1">
              <from>
                <xdr:col>5</xdr:col>
                <xdr:colOff>228600</xdr:colOff>
                <xdr:row>7</xdr:row>
                <xdr:rowOff>171450</xdr:rowOff>
              </from>
              <to>
                <xdr:col>9</xdr:col>
                <xdr:colOff>466725</xdr:colOff>
                <xdr:row>9</xdr:row>
                <xdr:rowOff>123825</xdr:rowOff>
              </to>
            </anchor>
          </objectPr>
        </oleObject>
      </mc:Choice>
      <mc:Fallback>
        <oleObject progId="Equation.3" shapeId="2051" r:id="rId4"/>
      </mc:Fallback>
    </mc:AlternateContent>
    <mc:AlternateContent xmlns:mc="http://schemas.openxmlformats.org/markup-compatibility/2006">
      <mc:Choice Requires="x14">
        <oleObject progId="Equation.3" shapeId="2052" r:id="rId6">
          <objectPr defaultSize="0" autoPict="0" r:id="rId7">
            <anchor moveWithCells="1" sizeWithCells="1">
              <from>
                <xdr:col>6</xdr:col>
                <xdr:colOff>28575</xdr:colOff>
                <xdr:row>10</xdr:row>
                <xdr:rowOff>38100</xdr:rowOff>
              </from>
              <to>
                <xdr:col>8</xdr:col>
                <xdr:colOff>447675</xdr:colOff>
                <xdr:row>13</xdr:row>
                <xdr:rowOff>76200</xdr:rowOff>
              </to>
            </anchor>
          </objectPr>
        </oleObject>
      </mc:Choice>
      <mc:Fallback>
        <oleObject progId="Equation.3" shapeId="2052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H24"/>
  <sheetViews>
    <sheetView showGridLines="0" workbookViewId="0"/>
  </sheetViews>
  <sheetFormatPr defaultColWidth="11.42578125" defaultRowHeight="12.75" x14ac:dyDescent="0.2"/>
  <cols>
    <col min="1" max="1" width="6.42578125" style="5" customWidth="1"/>
    <col min="2" max="2" width="15" style="5" customWidth="1"/>
    <col min="3" max="3" width="11.42578125" style="5"/>
    <col min="4" max="4" width="14.5703125" style="5" bestFit="1" customWidth="1"/>
    <col min="5" max="5" width="12.140625" style="5" bestFit="1" customWidth="1"/>
    <col min="6" max="6" width="16.85546875" style="5" customWidth="1"/>
    <col min="7" max="7" width="18" style="5" bestFit="1" customWidth="1"/>
    <col min="8" max="8" width="22.42578125" style="5" bestFit="1" customWidth="1"/>
    <col min="9" max="16384" width="11.42578125" style="5"/>
  </cols>
  <sheetData>
    <row r="1" spans="2:8" ht="19.5" customHeight="1" x14ac:dyDescent="0.2"/>
    <row r="2" spans="2:8" ht="15.75" x14ac:dyDescent="0.25">
      <c r="B2" s="6"/>
      <c r="C2" s="22" t="s">
        <v>7</v>
      </c>
      <c r="D2" s="23">
        <v>0.01</v>
      </c>
      <c r="E2" s="6"/>
      <c r="F2" s="6"/>
      <c r="G2" s="6"/>
      <c r="H2" s="6"/>
    </row>
    <row r="3" spans="2:8" x14ac:dyDescent="0.2">
      <c r="B3" s="6"/>
      <c r="C3" s="6"/>
      <c r="D3" s="14"/>
      <c r="E3" s="6"/>
      <c r="F3" s="6"/>
      <c r="G3" s="6"/>
      <c r="H3" s="35" t="s">
        <v>10</v>
      </c>
    </row>
    <row r="4" spans="2:8" ht="15.75" x14ac:dyDescent="0.25">
      <c r="B4" s="24" t="s">
        <v>9</v>
      </c>
      <c r="C4" s="25" t="s">
        <v>1</v>
      </c>
      <c r="D4" s="25" t="s">
        <v>0</v>
      </c>
      <c r="E4" s="25" t="s">
        <v>2</v>
      </c>
      <c r="F4" s="25" t="s">
        <v>3</v>
      </c>
      <c r="G4" s="26" t="s">
        <v>4</v>
      </c>
      <c r="H4" s="33" t="s">
        <v>6</v>
      </c>
    </row>
    <row r="5" spans="2:8" x14ac:dyDescent="0.2">
      <c r="B5" s="27">
        <f ca="1">TODAY()</f>
        <v>44817</v>
      </c>
      <c r="C5" s="8"/>
      <c r="D5" s="8"/>
      <c r="E5" s="6"/>
      <c r="F5" s="45">
        <f ca="1">-G17</f>
        <v>-0.86421991311804458</v>
      </c>
      <c r="G5" s="28"/>
      <c r="H5" s="34"/>
    </row>
    <row r="6" spans="2:8" x14ac:dyDescent="0.2">
      <c r="B6" s="27">
        <f t="shared" ref="B6:B15" ca="1" si="0">EDATE(B5,12)</f>
        <v>45182</v>
      </c>
      <c r="C6" s="13">
        <f t="shared" ref="C6:C15" ca="1" si="1">YEARFRAC($B$5,B6)</f>
        <v>1</v>
      </c>
      <c r="D6" s="9">
        <f ca="1">VLOOKUP(C6,Instrucciones!$C$10:$D$20,2,FALSE)</f>
        <v>1.767947111176893E-2</v>
      </c>
      <c r="E6" s="10">
        <f t="shared" ref="E6:E15" ca="1" si="2">1/(1+D6)^C6</f>
        <v>0.98262766262499635</v>
      </c>
      <c r="F6" s="9">
        <f t="shared" ref="F6:F14" si="3">$D$2</f>
        <v>0.01</v>
      </c>
      <c r="G6" s="41">
        <f t="shared" ref="G6:G15" ca="1" si="4">F6*E6</f>
        <v>9.8262766262499635E-3</v>
      </c>
      <c r="H6" s="43">
        <f t="shared" ref="H6:H15" ca="1" si="5">F6/(1+$H$20)^C6</f>
        <v>9.9009900990099011E-3</v>
      </c>
    </row>
    <row r="7" spans="2:8" x14ac:dyDescent="0.2">
      <c r="B7" s="27">
        <f t="shared" ca="1" si="0"/>
        <v>45548</v>
      </c>
      <c r="C7" s="13">
        <f t="shared" ca="1" si="1"/>
        <v>2</v>
      </c>
      <c r="D7" s="9">
        <f ca="1">VLOOKUP(C7,Instrucciones!$C$10:$D$20,2,FALSE)</f>
        <v>2.1394348655395801E-2</v>
      </c>
      <c r="E7" s="10">
        <f t="shared" ca="1" si="2"/>
        <v>0.95854630811657593</v>
      </c>
      <c r="F7" s="9">
        <f t="shared" si="3"/>
        <v>0.01</v>
      </c>
      <c r="G7" s="41">
        <f t="shared" ca="1" si="4"/>
        <v>9.5854630811657588E-3</v>
      </c>
      <c r="H7" s="43">
        <f t="shared" ca="1" si="5"/>
        <v>9.8029604940692086E-3</v>
      </c>
    </row>
    <row r="8" spans="2:8" x14ac:dyDescent="0.2">
      <c r="B8" s="27">
        <f t="shared" ca="1" si="0"/>
        <v>45913</v>
      </c>
      <c r="C8" s="13">
        <f t="shared" ca="1" si="1"/>
        <v>3</v>
      </c>
      <c r="D8" s="9">
        <f ca="1">VLOOKUP(C8,Instrucciones!$C$10:$D$20,2,FALSE)</f>
        <v>2.18573691508126E-2</v>
      </c>
      <c r="E8" s="10">
        <f t="shared" ca="1" si="2"/>
        <v>0.93719325947169285</v>
      </c>
      <c r="F8" s="9">
        <f t="shared" si="3"/>
        <v>0.01</v>
      </c>
      <c r="G8" s="41">
        <f t="shared" ca="1" si="4"/>
        <v>9.371932594716928E-3</v>
      </c>
      <c r="H8" s="43">
        <f t="shared" ca="1" si="5"/>
        <v>9.7059014792764461E-3</v>
      </c>
    </row>
    <row r="9" spans="2:8" x14ac:dyDescent="0.2">
      <c r="B9" s="27">
        <f t="shared" ca="1" si="0"/>
        <v>46278</v>
      </c>
      <c r="C9" s="13">
        <f t="shared" ca="1" si="1"/>
        <v>4</v>
      </c>
      <c r="D9" s="9">
        <f ca="1">VLOOKUP(C9,Instrucciones!$C$10:$D$20,2,FALSE)</f>
        <v>2.2444815003428875E-2</v>
      </c>
      <c r="E9" s="10">
        <f t="shared" ca="1" si="2"/>
        <v>0.91504087068741735</v>
      </c>
      <c r="F9" s="9">
        <f t="shared" si="3"/>
        <v>0.01</v>
      </c>
      <c r="G9" s="41">
        <f t="shared" ca="1" si="4"/>
        <v>9.1504087068741743E-3</v>
      </c>
      <c r="H9" s="43">
        <f t="shared" ca="1" si="5"/>
        <v>9.6098034448281622E-3</v>
      </c>
    </row>
    <row r="10" spans="2:8" x14ac:dyDescent="0.2">
      <c r="B10" s="27">
        <f t="shared" ca="1" si="0"/>
        <v>46643</v>
      </c>
      <c r="C10" s="13">
        <f t="shared" ca="1" si="1"/>
        <v>5</v>
      </c>
      <c r="D10" s="9">
        <f ca="1">VLOOKUP(C10,Instrucciones!$C$10:$D$20,2,FALSE)</f>
        <v>2.3055584585776945E-2</v>
      </c>
      <c r="E10" s="10">
        <f t="shared" ca="1" si="2"/>
        <v>0.89228552539788175</v>
      </c>
      <c r="F10" s="9">
        <f t="shared" si="3"/>
        <v>0.01</v>
      </c>
      <c r="G10" s="41">
        <f t="shared" ca="1" si="4"/>
        <v>8.9228552539788175E-3</v>
      </c>
      <c r="H10" s="43">
        <f t="shared" ca="1" si="5"/>
        <v>9.5146568760674892E-3</v>
      </c>
    </row>
    <row r="11" spans="2:8" x14ac:dyDescent="0.2">
      <c r="B11" s="27">
        <f t="shared" ca="1" si="0"/>
        <v>47009</v>
      </c>
      <c r="C11" s="13">
        <f t="shared" ca="1" si="1"/>
        <v>6</v>
      </c>
      <c r="D11" s="9">
        <f ca="1">VLOOKUP(C11,Instrucciones!$C$10:$D$20,2,FALSE)</f>
        <v>2.3612126583384407E-2</v>
      </c>
      <c r="E11" s="10">
        <f t="shared" ca="1" si="2"/>
        <v>0.86933560337241256</v>
      </c>
      <c r="F11" s="9">
        <f t="shared" si="3"/>
        <v>0.01</v>
      </c>
      <c r="G11" s="41">
        <f t="shared" ca="1" si="4"/>
        <v>8.6933560337241252E-3</v>
      </c>
      <c r="H11" s="43">
        <f t="shared" ca="1" si="5"/>
        <v>9.420452352542066E-3</v>
      </c>
    </row>
    <row r="12" spans="2:8" x14ac:dyDescent="0.2">
      <c r="B12" s="27">
        <f t="shared" ca="1" si="0"/>
        <v>47374</v>
      </c>
      <c r="C12" s="13">
        <f t="shared" ca="1" si="1"/>
        <v>7</v>
      </c>
      <c r="D12" s="9">
        <f ca="1">VLOOKUP(C12,Instrucciones!$C$10:$D$20,2,FALSE)</f>
        <v>2.4098965911286907E-2</v>
      </c>
      <c r="E12" s="10">
        <f t="shared" ca="1" si="2"/>
        <v>0.84646012993678055</v>
      </c>
      <c r="F12" s="9">
        <f t="shared" si="3"/>
        <v>0.01</v>
      </c>
      <c r="G12" s="41">
        <f t="shared" ca="1" si="4"/>
        <v>8.4646012993678053E-3</v>
      </c>
      <c r="H12" s="43">
        <f t="shared" ca="1" si="5"/>
        <v>9.3271805470713561E-3</v>
      </c>
    </row>
    <row r="13" spans="2:8" x14ac:dyDescent="0.2">
      <c r="B13" s="27">
        <f t="shared" ca="1" si="0"/>
        <v>47739</v>
      </c>
      <c r="C13" s="13">
        <f t="shared" ca="1" si="1"/>
        <v>8</v>
      </c>
      <c r="D13" s="9">
        <f ca="1">VLOOKUP(C13,Instrucciones!$C$10:$D$20,2,FALSE)</f>
        <v>2.4655354736135449E-2</v>
      </c>
      <c r="E13" s="10">
        <f t="shared" ca="1" si="2"/>
        <v>0.82295765293768752</v>
      </c>
      <c r="F13" s="9">
        <f t="shared" si="3"/>
        <v>0.01</v>
      </c>
      <c r="G13" s="41">
        <f t="shared" ca="1" si="4"/>
        <v>8.2295765293768745E-3</v>
      </c>
      <c r="H13" s="43">
        <f t="shared" ca="1" si="5"/>
        <v>9.234832224823122E-3</v>
      </c>
    </row>
    <row r="14" spans="2:8" x14ac:dyDescent="0.2">
      <c r="B14" s="27">
        <f t="shared" ca="1" si="0"/>
        <v>48104</v>
      </c>
      <c r="C14" s="13">
        <f t="shared" ca="1" si="1"/>
        <v>9</v>
      </c>
      <c r="D14" s="9">
        <f ca="1">VLOOKUP(C14,Instrucciones!$C$10:$D$20,2,FALSE)</f>
        <v>2.5172870428681327E-2</v>
      </c>
      <c r="E14" s="10">
        <f t="shared" ca="1" si="2"/>
        <v>0.79951397113546507</v>
      </c>
      <c r="F14" s="9">
        <f t="shared" si="3"/>
        <v>0.01</v>
      </c>
      <c r="G14" s="41">
        <f t="shared" ca="1" si="4"/>
        <v>7.9951397113546506E-3</v>
      </c>
      <c r="H14" s="43">
        <f t="shared" ca="1" si="5"/>
        <v>9.143398242399129E-3</v>
      </c>
    </row>
    <row r="15" spans="2:8" x14ac:dyDescent="0.2">
      <c r="B15" s="29">
        <f t="shared" ca="1" si="0"/>
        <v>48470</v>
      </c>
      <c r="C15" s="30">
        <f t="shared" ca="1" si="1"/>
        <v>10</v>
      </c>
      <c r="D15" s="31">
        <f ca="1">VLOOKUP(C15,Instrucciones!$C$10:$D$20,2,FALSE)</f>
        <v>2.5655757369733134E-2</v>
      </c>
      <c r="E15" s="32">
        <f t="shared" ca="1" si="2"/>
        <v>0.77621812206062912</v>
      </c>
      <c r="F15" s="31">
        <f>$D$2+100%</f>
        <v>1.01</v>
      </c>
      <c r="G15" s="42">
        <f t="shared" ca="1" si="4"/>
        <v>0.78398030328123547</v>
      </c>
      <c r="H15" s="44">
        <f t="shared" ca="1" si="5"/>
        <v>0.91433982423991289</v>
      </c>
    </row>
    <row r="16" spans="2:8" x14ac:dyDescent="0.2">
      <c r="B16" s="7"/>
      <c r="C16" s="7"/>
      <c r="D16" s="7"/>
      <c r="E16" s="7"/>
      <c r="F16" s="7"/>
      <c r="G16" s="7"/>
      <c r="H16" s="7"/>
    </row>
    <row r="17" spans="2:8" x14ac:dyDescent="0.2">
      <c r="B17" s="7"/>
      <c r="C17" s="7"/>
      <c r="D17" s="7"/>
      <c r="E17" s="7"/>
      <c r="F17" s="36" t="s">
        <v>5</v>
      </c>
      <c r="G17" s="37">
        <f ca="1">SUM(G6:G15)</f>
        <v>0.86421991311804458</v>
      </c>
      <c r="H17" s="37">
        <f ca="1">SUM(H6:H15)</f>
        <v>0.99999999999999978</v>
      </c>
    </row>
    <row r="18" spans="2:8" x14ac:dyDescent="0.2">
      <c r="B18" s="7"/>
      <c r="C18" s="7"/>
      <c r="D18" s="7"/>
      <c r="E18" s="7"/>
      <c r="F18" s="36" t="s">
        <v>8</v>
      </c>
      <c r="G18" s="38">
        <f ca="1">(G17-H17)*10000</f>
        <v>-1357.8008688195521</v>
      </c>
      <c r="H18" s="7"/>
    </row>
    <row r="19" spans="2:8" x14ac:dyDescent="0.2">
      <c r="B19" s="7"/>
      <c r="C19" s="7"/>
      <c r="D19" s="7"/>
      <c r="E19" s="7"/>
      <c r="F19" s="7"/>
      <c r="G19" s="7"/>
      <c r="H19" s="7"/>
    </row>
    <row r="20" spans="2:8" x14ac:dyDescent="0.2">
      <c r="B20" s="7"/>
      <c r="C20" s="7"/>
      <c r="D20" s="7"/>
      <c r="E20" s="7"/>
      <c r="G20" s="39" t="s">
        <v>11</v>
      </c>
      <c r="H20" s="40">
        <v>0.01</v>
      </c>
    </row>
    <row r="21" spans="2:8" x14ac:dyDescent="0.2">
      <c r="B21" s="7"/>
      <c r="C21" s="7"/>
      <c r="D21" s="7"/>
      <c r="E21" s="7"/>
      <c r="H21" s="7"/>
    </row>
    <row r="22" spans="2:8" x14ac:dyDescent="0.2">
      <c r="B22" s="7"/>
      <c r="C22" s="7"/>
      <c r="D22" s="7"/>
      <c r="E22" s="7"/>
      <c r="F22" s="11"/>
      <c r="G22" s="39" t="s">
        <v>12</v>
      </c>
      <c r="H22" s="40">
        <f ca="1">IRR(F5:F15)</f>
        <v>2.5558903346385886E-2</v>
      </c>
    </row>
    <row r="23" spans="2:8" x14ac:dyDescent="0.2">
      <c r="B23" s="7"/>
      <c r="C23" s="7"/>
      <c r="D23" s="7"/>
      <c r="E23" s="7"/>
      <c r="F23" s="12"/>
    </row>
    <row r="24" spans="2:8" x14ac:dyDescent="0.2">
      <c r="B24" s="7"/>
      <c r="C24" s="7"/>
      <c r="D24" s="7"/>
      <c r="E24" s="7"/>
    </row>
  </sheetData>
  <dataConsolidate/>
  <pageMargins left="0.75" right="0.75" top="1" bottom="1" header="0" footer="0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Instrucciones</vt:lpstr>
      <vt:lpstr>Bono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Efa3</dc:creator>
  <cp:lastModifiedBy>Ana Carretón</cp:lastModifiedBy>
  <cp:lastPrinted>2005-09-15T13:43:28Z</cp:lastPrinted>
  <dcterms:created xsi:type="dcterms:W3CDTF">2000-11-21T16:35:46Z</dcterms:created>
  <dcterms:modified xsi:type="dcterms:W3CDTF">2022-09-13T15:57:17Z</dcterms:modified>
</cp:coreProperties>
</file>